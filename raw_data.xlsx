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S\Excel_Projects\Portfolio_Analysis\"/>
    </mc:Choice>
  </mc:AlternateContent>
  <xr:revisionPtr revIDLastSave="0" documentId="13_ncr:1_{4CB91F48-8A22-4A00-A215-1D936BDCD8D5}" xr6:coauthVersionLast="47" xr6:coauthVersionMax="47" xr10:uidLastSave="{00000000-0000-0000-0000-000000000000}"/>
  <bookViews>
    <workbookView xWindow="-120" yWindow="-120" windowWidth="29040" windowHeight="15720" activeTab="1" xr2:uid="{3E5BA951-6581-4C43-8164-1CB5EA2FBF97}"/>
  </bookViews>
  <sheets>
    <sheet name="raw_data" sheetId="3" r:id="rId1"/>
    <sheet name="Portfolio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2" l="1"/>
  <c r="Q12" i="2"/>
  <c r="Q10" i="2"/>
  <c r="Q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L31" i="2" s="1"/>
  <c r="M31" i="2" s="1"/>
  <c r="H3" i="2"/>
  <c r="I3" i="2"/>
  <c r="J3" i="2"/>
  <c r="K3" i="2"/>
  <c r="H4" i="2"/>
  <c r="I4" i="2"/>
  <c r="J4" i="2"/>
  <c r="K4" i="2"/>
  <c r="H5" i="2"/>
  <c r="I5" i="2"/>
  <c r="J5" i="2"/>
  <c r="K5" i="2"/>
  <c r="L5" i="2" s="1"/>
  <c r="M5" i="2" s="1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L9" i="2" s="1"/>
  <c r="M9" i="2" s="1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L24" i="2" s="1"/>
  <c r="M24" i="2" s="1"/>
  <c r="H25" i="2"/>
  <c r="L25" i="2" s="1"/>
  <c r="M25" i="2" s="1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L4" i="2"/>
  <c r="M4" i="2" s="1"/>
  <c r="G3" i="2"/>
  <c r="F20" i="2"/>
  <c r="F28" i="2"/>
  <c r="D19" i="2"/>
  <c r="C18" i="2"/>
  <c r="B17" i="2"/>
  <c r="L26" i="2" l="1"/>
  <c r="M26" i="2" s="1"/>
  <c r="L22" i="2"/>
  <c r="M22" i="2" s="1"/>
  <c r="L13" i="2"/>
  <c r="M13" i="2" s="1"/>
  <c r="L11" i="2"/>
  <c r="M11" i="2" s="1"/>
  <c r="L17" i="2"/>
  <c r="M17" i="2" s="1"/>
  <c r="L10" i="2"/>
  <c r="M10" i="2" s="1"/>
  <c r="L16" i="2"/>
  <c r="M16" i="2" s="1"/>
  <c r="L30" i="2"/>
  <c r="M30" i="2" s="1"/>
  <c r="L15" i="2"/>
  <c r="M15" i="2" s="1"/>
  <c r="L29" i="2"/>
  <c r="M29" i="2" s="1"/>
  <c r="L14" i="2"/>
  <c r="M14" i="2" s="1"/>
  <c r="L3" i="2"/>
  <c r="M3" i="2" s="1"/>
  <c r="L18" i="2"/>
  <c r="M18" i="2" s="1"/>
  <c r="L12" i="2"/>
  <c r="M12" i="2" s="1"/>
  <c r="L23" i="2"/>
  <c r="M23" i="2" s="1"/>
  <c r="L20" i="2"/>
  <c r="M20" i="2" s="1"/>
  <c r="L19" i="2"/>
  <c r="M19" i="2" s="1"/>
  <c r="L8" i="2"/>
  <c r="M8" i="2" s="1"/>
  <c r="L28" i="2"/>
  <c r="M28" i="2" s="1"/>
  <c r="L7" i="2"/>
  <c r="M7" i="2" s="1"/>
  <c r="L27" i="2"/>
  <c r="M27" i="2" s="1"/>
  <c r="L6" i="2"/>
  <c r="L21" i="2"/>
  <c r="M21" i="2" s="1"/>
  <c r="M6" i="2" l="1"/>
</calcChain>
</file>

<file path=xl/sharedStrings.xml><?xml version="1.0" encoding="utf-8"?>
<sst xmlns="http://schemas.openxmlformats.org/spreadsheetml/2006/main" count="34" uniqueCount="23">
  <si>
    <t>AAPL</t>
  </si>
  <si>
    <t>MSFT</t>
  </si>
  <si>
    <t>TSLA</t>
  </si>
  <si>
    <t>AMZN</t>
  </si>
  <si>
    <t>SPY</t>
  </si>
  <si>
    <t>Date</t>
  </si>
  <si>
    <t>N/A</t>
  </si>
  <si>
    <t>missing</t>
  </si>
  <si>
    <t>AAPL_Return</t>
  </si>
  <si>
    <t>MSFT_Return</t>
  </si>
  <si>
    <t>TSLA_Return</t>
  </si>
  <si>
    <t>AMZN_Return</t>
  </si>
  <si>
    <t>SPY_Return</t>
  </si>
  <si>
    <t>Stock</t>
  </si>
  <si>
    <t>Weight</t>
  </si>
  <si>
    <t>Portfolio_Return</t>
  </si>
  <si>
    <t>Excess_Return</t>
  </si>
  <si>
    <t>Metrics</t>
  </si>
  <si>
    <t>Value</t>
  </si>
  <si>
    <t>Avg Portfolio Return</t>
  </si>
  <si>
    <t>Avg SPY Return</t>
  </si>
  <si>
    <t>Excess Return</t>
  </si>
  <si>
    <t>Portfolio Risk (Std 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</si>
</sst>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vertical="center" wrapText="1"/>
    </xf>
    <xf numFmtId="0" fontId="2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0" xfId="0" applyFont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Portfolio vs Benchmark (SPY)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Portfolio_Analysis!$K$1</c:f>
              <c:strCache>
                <c:ptCount val="1"/>
                <c:pt idx="0">
                  <c:v>SPY_Return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Portfolio_Analysis!$A$2:$A$32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Portfolio_Analysis!$K$2:$K$32</c:f>
              <c:numCache>
                <c:formatCode>0.00%</c:formatCode>
                <c:ptCount val="31"/>
                <c:pt idx="1">
                  <c:v>4.2553191489360653E-3</c:v>
                </c:pt>
                <c:pt idx="2">
                  <c:v>-8.4745762711864181E-3</c:v>
                </c:pt>
                <c:pt idx="3">
                  <c:v>1.4957264957264904E-2</c:v>
                </c:pt>
                <c:pt idx="4">
                  <c:v>6.3157894736842746E-3</c:v>
                </c:pt>
                <c:pt idx="5">
                  <c:v>4.1841004184099972E-3</c:v>
                </c:pt>
                <c:pt idx="6">
                  <c:v>-2.0833333333333259E-3</c:v>
                </c:pt>
                <c:pt idx="7">
                  <c:v>6.2630480167014113E-3</c:v>
                </c:pt>
                <c:pt idx="8">
                  <c:v>6.2240663900414717E-3</c:v>
                </c:pt>
                <c:pt idx="9">
                  <c:v>-4.1237113402061709E-3</c:v>
                </c:pt>
                <c:pt idx="10">
                  <c:v>8.2815734989647449E-3</c:v>
                </c:pt>
                <c:pt idx="11">
                  <c:v>6.1601642710471527E-3</c:v>
                </c:pt>
                <c:pt idx="12">
                  <c:v>-4.0816326530612734E-3</c:v>
                </c:pt>
                <c:pt idx="13">
                  <c:v>8.1967213114753079E-3</c:v>
                </c:pt>
                <c:pt idx="14">
                  <c:v>6.0975609756097615E-3</c:v>
                </c:pt>
                <c:pt idx="15">
                  <c:v>4.0404040404040664E-3</c:v>
                </c:pt>
                <c:pt idx="16">
                  <c:v>2.012072434607548E-3</c:v>
                </c:pt>
                <c:pt idx="17">
                  <c:v>4.0160642570281624E-3</c:v>
                </c:pt>
                <c:pt idx="18">
                  <c:v>0</c:v>
                </c:pt>
                <c:pt idx="19">
                  <c:v>1.0000000000000009E-2</c:v>
                </c:pt>
                <c:pt idx="20">
                  <c:v>-3.9603960396039639E-3</c:v>
                </c:pt>
                <c:pt idx="21">
                  <c:v>7.9522862823062646E-3</c:v>
                </c:pt>
                <c:pt idx="22">
                  <c:v>5.9171597633136397E-3</c:v>
                </c:pt>
                <c:pt idx="23">
                  <c:v>-3.9215686274509665E-3</c:v>
                </c:pt>
                <c:pt idx="24">
                  <c:v>7.8740157480314821E-3</c:v>
                </c:pt>
                <c:pt idx="25">
                  <c:v>5.859375E-3</c:v>
                </c:pt>
                <c:pt idx="26">
                  <c:v>0</c:v>
                </c:pt>
                <c:pt idx="27">
                  <c:v>3.8834951456310218E-3</c:v>
                </c:pt>
                <c:pt idx="28">
                  <c:v>5.8027079303675233E-3</c:v>
                </c:pt>
                <c:pt idx="29">
                  <c:v>-3.8461538461538325E-3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6-412F-A77C-55695AE4CF44}"/>
            </c:ext>
          </c:extLst>
        </c:ser>
        <c:ser>
          <c:idx val="1"/>
          <c:order val="1"/>
          <c:tx>
            <c:strRef>
              <c:f>Portfolio_Analysis!$L$1</c:f>
              <c:strCache>
                <c:ptCount val="1"/>
                <c:pt idx="0">
                  <c:v>Portfolio_Return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Portfolio_Analysis!$A$2:$A$32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Portfolio_Analysis!$L$2:$L$32</c:f>
              <c:numCache>
                <c:formatCode>0.00%</c:formatCode>
                <c:ptCount val="31"/>
                <c:pt idx="1">
                  <c:v>1.0852927762685606E-2</c:v>
                </c:pt>
                <c:pt idx="2">
                  <c:v>-1.122807749273973E-2</c:v>
                </c:pt>
                <c:pt idx="3">
                  <c:v>2.1639026122067185E-2</c:v>
                </c:pt>
                <c:pt idx="4">
                  <c:v>9.6487719111309836E-3</c:v>
                </c:pt>
                <c:pt idx="5">
                  <c:v>1.044616460113783E-2</c:v>
                </c:pt>
                <c:pt idx="6">
                  <c:v>-4.7847048175995608E-3</c:v>
                </c:pt>
                <c:pt idx="7">
                  <c:v>1.2811249596907626E-2</c:v>
                </c:pt>
                <c:pt idx="8">
                  <c:v>1.0620726438390227E-2</c:v>
                </c:pt>
                <c:pt idx="9">
                  <c:v>-5.092837512322923E-3</c:v>
                </c:pt>
                <c:pt idx="10">
                  <c:v>1.3451281723128618E-2</c:v>
                </c:pt>
                <c:pt idx="11">
                  <c:v>1.0384684713628189E-2</c:v>
                </c:pt>
                <c:pt idx="12">
                  <c:v>-4.988356535984062E-3</c:v>
                </c:pt>
                <c:pt idx="13">
                  <c:v>1.3906972422231201E-2</c:v>
                </c:pt>
                <c:pt idx="14">
                  <c:v>8.6285066467053362E-3</c:v>
                </c:pt>
                <c:pt idx="15">
                  <c:v>7.6361909695243039E-3</c:v>
                </c:pt>
                <c:pt idx="16">
                  <c:v>6.9006152066336318E-3</c:v>
                </c:pt>
                <c:pt idx="17">
                  <c:v>4.53604531832581E-3</c:v>
                </c:pt>
                <c:pt idx="18">
                  <c:v>7.4137273063231476E-3</c:v>
                </c:pt>
                <c:pt idx="19">
                  <c:v>1.052858894269959E-2</c:v>
                </c:pt>
                <c:pt idx="20">
                  <c:v>-4.6929478682948391E-3</c:v>
                </c:pt>
                <c:pt idx="21">
                  <c:v>1.1823210621941849E-2</c:v>
                </c:pt>
                <c:pt idx="22">
                  <c:v>9.5338793635472395E-3</c:v>
                </c:pt>
                <c:pt idx="23">
                  <c:v>-4.6078845032995423E-3</c:v>
                </c:pt>
                <c:pt idx="24">
                  <c:v>1.1588690030601791E-2</c:v>
                </c:pt>
                <c:pt idx="25">
                  <c:v>9.3524772733334614E-3</c:v>
                </c:pt>
                <c:pt idx="26">
                  <c:v>-3.7496953586431351E-3</c:v>
                </c:pt>
                <c:pt idx="27">
                  <c:v>1.0582186403303861E-2</c:v>
                </c:pt>
                <c:pt idx="28">
                  <c:v>9.1789735719675757E-3</c:v>
                </c:pt>
                <c:pt idx="29">
                  <c:v>-4.4482273484979917E-3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6-412F-A77C-55695AE4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178880"/>
        <c:axId val="2097175520"/>
      </c:lineChart>
      <c:dateAx>
        <c:axId val="2097178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75520"/>
        <c:crosses val="autoZero"/>
        <c:auto val="1"/>
        <c:lblOffset val="100"/>
        <c:baseTimeUnit val="days"/>
      </c:dateAx>
      <c:valAx>
        <c:axId val="20971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180975</xdr:rowOff>
    </xdr:from>
    <xdr:to>
      <xdr:col>22</xdr:col>
      <xdr:colOff>323850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02DCB-1580-A52D-EBFB-4DC17AF80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561975</xdr:colOff>
      <xdr:row>32</xdr:row>
      <xdr:rowOff>28575</xdr:rowOff>
    </xdr:from>
    <xdr:ext cx="7505699" cy="94297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C6712F-8723-EC1F-E596-FBF98102DB53}"/>
            </a:ext>
          </a:extLst>
        </xdr:cNvPr>
        <xdr:cNvSpPr txBox="1"/>
      </xdr:nvSpPr>
      <xdr:spPr>
        <a:xfrm>
          <a:off x="561975" y="6124575"/>
          <a:ext cx="7505699" cy="9429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b="1">
              <a:solidFill>
                <a:schemeClr val="accent1"/>
              </a:solidFill>
            </a:rPr>
            <a:t>Insights:</a:t>
          </a:r>
        </a:p>
        <a:p>
          <a:r>
            <a:rPr lang="en-US"/>
            <a:t>The portfolio outperformed the S&amp;P 500 benchmark, generating about 0.61% average return compared to 0.34% for the market. </a:t>
          </a:r>
        </a:p>
        <a:p>
          <a:r>
            <a:rPr lang="en-US"/>
            <a:t>The excess return was around 0.28%.</a:t>
          </a:r>
          <a:r>
            <a:rPr lang="en-US" baseline="0"/>
            <a:t> </a:t>
          </a:r>
        </a:p>
        <a:p>
          <a:r>
            <a:rPr lang="en-US"/>
            <a:t>And the volatility stayed relatively moderate at about 1%, indicating efficient performance.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4F4-EB50-4F2F-8F2C-6B0DAE4A85B7}">
  <dimension ref="A1:F31"/>
  <sheetViews>
    <sheetView workbookViewId="0">
      <selection activeCell="F28" sqref="F28"/>
    </sheetView>
  </sheetViews>
  <sheetFormatPr defaultRowHeight="15" x14ac:dyDescent="0.25"/>
  <cols>
    <col min="1" max="1" width="9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>
        <v>45292</v>
      </c>
      <c r="B2">
        <v>185</v>
      </c>
      <c r="C2">
        <v>370</v>
      </c>
      <c r="D2">
        <v>250</v>
      </c>
      <c r="E2">
        <v>145</v>
      </c>
      <c r="F2">
        <v>470</v>
      </c>
    </row>
    <row r="3" spans="1:6" x14ac:dyDescent="0.25">
      <c r="A3" s="2">
        <v>45293</v>
      </c>
      <c r="B3">
        <v>187</v>
      </c>
      <c r="C3">
        <v>372</v>
      </c>
      <c r="D3">
        <v>255</v>
      </c>
      <c r="E3">
        <v>147</v>
      </c>
      <c r="F3">
        <v>472</v>
      </c>
    </row>
    <row r="4" spans="1:6" x14ac:dyDescent="0.25">
      <c r="A4" s="2">
        <v>45294</v>
      </c>
      <c r="B4">
        <v>186</v>
      </c>
      <c r="C4">
        <v>369</v>
      </c>
      <c r="D4">
        <v>248</v>
      </c>
      <c r="E4">
        <v>146</v>
      </c>
      <c r="F4">
        <v>468</v>
      </c>
    </row>
    <row r="5" spans="1:6" x14ac:dyDescent="0.25">
      <c r="A5" s="2">
        <v>45295</v>
      </c>
      <c r="B5">
        <v>188</v>
      </c>
      <c r="C5">
        <v>374</v>
      </c>
      <c r="D5">
        <v>260</v>
      </c>
      <c r="E5">
        <v>149</v>
      </c>
      <c r="F5">
        <v>475</v>
      </c>
    </row>
    <row r="6" spans="1:6" x14ac:dyDescent="0.25">
      <c r="A6" s="2">
        <v>45296</v>
      </c>
      <c r="B6">
        <v>190</v>
      </c>
      <c r="C6">
        <v>376</v>
      </c>
      <c r="D6">
        <v>265</v>
      </c>
      <c r="E6">
        <v>150</v>
      </c>
      <c r="F6">
        <v>478</v>
      </c>
    </row>
    <row r="7" spans="1:6" x14ac:dyDescent="0.25">
      <c r="A7" s="2">
        <v>45297</v>
      </c>
      <c r="B7">
        <v>192</v>
      </c>
      <c r="C7">
        <v>378</v>
      </c>
      <c r="D7">
        <v>270</v>
      </c>
      <c r="E7">
        <v>152</v>
      </c>
      <c r="F7">
        <v>480</v>
      </c>
    </row>
    <row r="8" spans="1:6" x14ac:dyDescent="0.25">
      <c r="A8" s="2">
        <v>45298</v>
      </c>
      <c r="B8">
        <v>191</v>
      </c>
      <c r="C8">
        <v>377</v>
      </c>
      <c r="D8">
        <v>268</v>
      </c>
      <c r="E8">
        <v>151</v>
      </c>
      <c r="F8">
        <v>479</v>
      </c>
    </row>
    <row r="9" spans="1:6" x14ac:dyDescent="0.25">
      <c r="A9" s="2">
        <v>45299</v>
      </c>
      <c r="B9">
        <v>193</v>
      </c>
      <c r="C9">
        <v>380</v>
      </c>
      <c r="D9">
        <v>275</v>
      </c>
      <c r="E9">
        <v>153</v>
      </c>
      <c r="F9">
        <v>482</v>
      </c>
    </row>
    <row r="10" spans="1:6" x14ac:dyDescent="0.25">
      <c r="A10" s="2">
        <v>45300</v>
      </c>
      <c r="B10">
        <v>195</v>
      </c>
      <c r="C10">
        <v>382</v>
      </c>
      <c r="D10">
        <v>280</v>
      </c>
      <c r="E10">
        <v>155</v>
      </c>
      <c r="F10">
        <v>485</v>
      </c>
    </row>
    <row r="11" spans="1:6" x14ac:dyDescent="0.25">
      <c r="A11" s="2">
        <v>45301</v>
      </c>
      <c r="B11">
        <v>194</v>
      </c>
      <c r="C11">
        <v>381</v>
      </c>
      <c r="D11">
        <v>278</v>
      </c>
      <c r="E11">
        <v>154</v>
      </c>
      <c r="F11">
        <v>483</v>
      </c>
    </row>
    <row r="12" spans="1:6" x14ac:dyDescent="0.25">
      <c r="A12" s="2">
        <v>45302</v>
      </c>
      <c r="B12">
        <v>196</v>
      </c>
      <c r="C12">
        <v>385</v>
      </c>
      <c r="D12">
        <v>285</v>
      </c>
      <c r="E12">
        <v>156</v>
      </c>
      <c r="F12">
        <v>487</v>
      </c>
    </row>
    <row r="13" spans="1:6" x14ac:dyDescent="0.25">
      <c r="A13" s="2">
        <v>45303</v>
      </c>
      <c r="B13">
        <v>198</v>
      </c>
      <c r="C13">
        <v>387</v>
      </c>
      <c r="D13">
        <v>290</v>
      </c>
      <c r="E13">
        <v>158</v>
      </c>
      <c r="F13">
        <v>490</v>
      </c>
    </row>
    <row r="14" spans="1:6" x14ac:dyDescent="0.25">
      <c r="A14" s="2">
        <v>45304</v>
      </c>
      <c r="B14">
        <v>197</v>
      </c>
      <c r="C14">
        <v>386</v>
      </c>
      <c r="D14">
        <v>288</v>
      </c>
      <c r="E14">
        <v>157</v>
      </c>
      <c r="F14">
        <v>488</v>
      </c>
    </row>
    <row r="15" spans="1:6" x14ac:dyDescent="0.25">
      <c r="A15" s="2">
        <v>45305</v>
      </c>
      <c r="B15">
        <v>199</v>
      </c>
      <c r="C15">
        <v>389</v>
      </c>
      <c r="D15">
        <v>295</v>
      </c>
      <c r="E15">
        <v>160</v>
      </c>
      <c r="F15">
        <v>492</v>
      </c>
    </row>
    <row r="16" spans="1:6" x14ac:dyDescent="0.25">
      <c r="A16" s="2">
        <v>45306</v>
      </c>
      <c r="B16">
        <v>200</v>
      </c>
      <c r="C16">
        <v>390</v>
      </c>
      <c r="D16">
        <v>300</v>
      </c>
      <c r="E16">
        <v>162</v>
      </c>
      <c r="F16">
        <v>495</v>
      </c>
    </row>
    <row r="17" spans="1:6" x14ac:dyDescent="0.25">
      <c r="A17" s="2">
        <v>45307</v>
      </c>
      <c r="C17">
        <v>392</v>
      </c>
      <c r="D17">
        <v>305</v>
      </c>
      <c r="E17">
        <v>164</v>
      </c>
      <c r="F17">
        <v>497</v>
      </c>
    </row>
    <row r="18" spans="1:6" x14ac:dyDescent="0.25">
      <c r="A18" s="2">
        <v>45308</v>
      </c>
      <c r="B18">
        <v>202</v>
      </c>
      <c r="C18" t="s">
        <v>6</v>
      </c>
      <c r="D18">
        <v>310</v>
      </c>
      <c r="E18">
        <v>165</v>
      </c>
      <c r="F18">
        <v>498</v>
      </c>
    </row>
    <row r="19" spans="1:6" x14ac:dyDescent="0.25">
      <c r="A19" s="2">
        <v>45309</v>
      </c>
      <c r="B19">
        <v>203</v>
      </c>
      <c r="C19">
        <v>395</v>
      </c>
      <c r="E19">
        <v>166</v>
      </c>
      <c r="F19">
        <v>500</v>
      </c>
    </row>
    <row r="20" spans="1:6" x14ac:dyDescent="0.25">
      <c r="A20" s="2">
        <v>45310</v>
      </c>
      <c r="B20">
        <v>205</v>
      </c>
      <c r="C20">
        <v>397</v>
      </c>
      <c r="D20">
        <v>315</v>
      </c>
      <c r="E20">
        <v>167</v>
      </c>
      <c r="F20" t="s">
        <v>7</v>
      </c>
    </row>
    <row r="21" spans="1:6" x14ac:dyDescent="0.25">
      <c r="A21" s="2">
        <v>45311</v>
      </c>
      <c r="B21">
        <v>207</v>
      </c>
      <c r="C21">
        <v>399</v>
      </c>
      <c r="D21">
        <v>320</v>
      </c>
      <c r="E21">
        <v>169</v>
      </c>
      <c r="F21">
        <v>505</v>
      </c>
    </row>
    <row r="22" spans="1:6" x14ac:dyDescent="0.25">
      <c r="A22" s="2">
        <v>45312</v>
      </c>
      <c r="B22">
        <v>206</v>
      </c>
      <c r="C22">
        <v>398</v>
      </c>
      <c r="D22">
        <v>318</v>
      </c>
      <c r="E22">
        <v>168</v>
      </c>
      <c r="F22">
        <v>503</v>
      </c>
    </row>
    <row r="23" spans="1:6" x14ac:dyDescent="0.25">
      <c r="A23" s="2">
        <v>45313</v>
      </c>
      <c r="B23">
        <v>208</v>
      </c>
      <c r="C23">
        <v>401</v>
      </c>
      <c r="D23">
        <v>325</v>
      </c>
      <c r="E23">
        <v>170</v>
      </c>
      <c r="F23">
        <v>507</v>
      </c>
    </row>
    <row r="24" spans="1:6" x14ac:dyDescent="0.25">
      <c r="A24" s="2">
        <v>45314</v>
      </c>
      <c r="B24">
        <v>210</v>
      </c>
      <c r="C24">
        <v>403</v>
      </c>
      <c r="D24">
        <v>330</v>
      </c>
      <c r="E24">
        <v>172</v>
      </c>
      <c r="F24">
        <v>510</v>
      </c>
    </row>
    <row r="25" spans="1:6" x14ac:dyDescent="0.25">
      <c r="A25" s="2">
        <v>45315</v>
      </c>
      <c r="B25">
        <v>209</v>
      </c>
      <c r="C25">
        <v>402</v>
      </c>
      <c r="D25">
        <v>328</v>
      </c>
      <c r="E25">
        <v>171</v>
      </c>
      <c r="F25">
        <v>508</v>
      </c>
    </row>
    <row r="26" spans="1:6" x14ac:dyDescent="0.25">
      <c r="A26" s="2">
        <v>45316</v>
      </c>
      <c r="B26">
        <v>211</v>
      </c>
      <c r="C26">
        <v>405</v>
      </c>
      <c r="D26">
        <v>335</v>
      </c>
      <c r="E26">
        <v>173</v>
      </c>
      <c r="F26">
        <v>512</v>
      </c>
    </row>
    <row r="27" spans="1:6" x14ac:dyDescent="0.25">
      <c r="A27" s="2">
        <v>45317</v>
      </c>
      <c r="B27">
        <v>213</v>
      </c>
      <c r="C27">
        <v>407</v>
      </c>
      <c r="D27">
        <v>340</v>
      </c>
      <c r="E27">
        <v>175</v>
      </c>
      <c r="F27">
        <v>515</v>
      </c>
    </row>
    <row r="28" spans="1:6" x14ac:dyDescent="0.25">
      <c r="A28" s="2">
        <v>45318</v>
      </c>
      <c r="B28">
        <v>212</v>
      </c>
      <c r="C28">
        <v>406</v>
      </c>
      <c r="D28">
        <v>338</v>
      </c>
      <c r="E28">
        <v>174</v>
      </c>
    </row>
    <row r="29" spans="1:6" x14ac:dyDescent="0.25">
      <c r="A29" s="2">
        <v>45319</v>
      </c>
      <c r="B29">
        <v>214</v>
      </c>
      <c r="C29">
        <v>409</v>
      </c>
      <c r="D29">
        <v>345</v>
      </c>
      <c r="E29">
        <v>176</v>
      </c>
      <c r="F29">
        <v>517</v>
      </c>
    </row>
    <row r="30" spans="1:6" x14ac:dyDescent="0.25">
      <c r="A30" s="2">
        <v>45320</v>
      </c>
      <c r="B30">
        <v>216</v>
      </c>
      <c r="C30">
        <v>411</v>
      </c>
      <c r="D30">
        <v>350</v>
      </c>
      <c r="E30">
        <v>178</v>
      </c>
      <c r="F30">
        <v>520</v>
      </c>
    </row>
    <row r="31" spans="1:6" x14ac:dyDescent="0.25">
      <c r="A31" s="2">
        <v>45321</v>
      </c>
      <c r="B31">
        <v>215</v>
      </c>
      <c r="C31">
        <v>410</v>
      </c>
      <c r="D31">
        <v>348</v>
      </c>
      <c r="E31">
        <v>177</v>
      </c>
      <c r="F31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CA5B-606E-4F41-AD0D-A6AB9934E57C}">
  <dimension ref="A1:Q31"/>
  <sheetViews>
    <sheetView tabSelected="1" workbookViewId="0">
      <selection activeCell="W9" sqref="W9"/>
    </sheetView>
  </sheetViews>
  <sheetFormatPr defaultRowHeight="15" x14ac:dyDescent="0.25"/>
  <cols>
    <col min="1" max="1" width="9.7109375" bestFit="1" customWidth="1"/>
    <col min="7" max="7" width="12.5703125" style="3" bestFit="1" customWidth="1"/>
    <col min="8" max="8" width="12.7109375" style="3" bestFit="1" customWidth="1"/>
    <col min="9" max="9" width="12.140625" style="3" bestFit="1" customWidth="1"/>
    <col min="10" max="10" width="13.5703125" style="3" bestFit="1" customWidth="1"/>
    <col min="11" max="11" width="11.140625" style="3" bestFit="1" customWidth="1"/>
    <col min="12" max="12" width="16" bestFit="1" customWidth="1"/>
    <col min="13" max="14" width="16" customWidth="1"/>
    <col min="15" max="15" width="15.140625" bestFit="1" customWidth="1"/>
    <col min="16" max="16" width="21.7109375" bestFit="1" customWidth="1"/>
    <col min="17" max="17" width="8.42578125" bestFit="1" customWidth="1"/>
  </cols>
  <sheetData>
    <row r="1" spans="1:17" s="5" customFormat="1" x14ac:dyDescent="0.25">
      <c r="A1" s="5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15</v>
      </c>
      <c r="M1" s="6" t="s">
        <v>16</v>
      </c>
      <c r="N1" s="6"/>
      <c r="P1" s="7" t="s">
        <v>13</v>
      </c>
      <c r="Q1" s="7" t="s">
        <v>14</v>
      </c>
    </row>
    <row r="2" spans="1:17" x14ac:dyDescent="0.25">
      <c r="A2" s="2">
        <v>45292</v>
      </c>
      <c r="B2">
        <v>185</v>
      </c>
      <c r="C2">
        <v>370</v>
      </c>
      <c r="D2">
        <v>250</v>
      </c>
      <c r="E2">
        <v>145</v>
      </c>
      <c r="F2">
        <v>470</v>
      </c>
      <c r="P2" s="1" t="s">
        <v>0</v>
      </c>
      <c r="Q2" s="4">
        <v>0.2</v>
      </c>
    </row>
    <row r="3" spans="1:17" x14ac:dyDescent="0.25">
      <c r="A3" s="2">
        <v>45293</v>
      </c>
      <c r="B3">
        <v>187</v>
      </c>
      <c r="C3">
        <v>372</v>
      </c>
      <c r="D3">
        <v>255</v>
      </c>
      <c r="E3">
        <v>147</v>
      </c>
      <c r="F3">
        <v>472</v>
      </c>
      <c r="G3" s="3">
        <f>(B3/B2) - 1</f>
        <v>1.08108108108107E-2</v>
      </c>
      <c r="H3" s="3">
        <f t="shared" ref="H3:K18" si="0">(C3/C2) - 1</f>
        <v>5.4054054054053502E-3</v>
      </c>
      <c r="I3" s="3">
        <f t="shared" si="0"/>
        <v>2.0000000000000018E-2</v>
      </c>
      <c r="J3" s="3">
        <f t="shared" si="0"/>
        <v>1.379310344827589E-2</v>
      </c>
      <c r="K3" s="3">
        <f t="shared" si="0"/>
        <v>4.2553191489360653E-3</v>
      </c>
      <c r="L3" s="3">
        <f>0.2*G3 + 0.2*H3 + 0.2*I3 + 0.2* J3 + 0.2*K3</f>
        <v>1.0852927762685606E-2</v>
      </c>
      <c r="M3" s="3">
        <f>L3-K3</f>
        <v>6.5976086137495404E-3</v>
      </c>
      <c r="N3" s="3"/>
      <c r="P3" s="1" t="s">
        <v>1</v>
      </c>
      <c r="Q3" s="4">
        <v>0.2</v>
      </c>
    </row>
    <row r="4" spans="1:17" x14ac:dyDescent="0.25">
      <c r="A4" s="2">
        <v>45294</v>
      </c>
      <c r="B4">
        <v>186</v>
      </c>
      <c r="C4">
        <v>369</v>
      </c>
      <c r="D4">
        <v>248</v>
      </c>
      <c r="E4">
        <v>146</v>
      </c>
      <c r="F4">
        <v>468</v>
      </c>
      <c r="G4" s="3">
        <f t="shared" ref="G4:G31" si="1">(B4/B3) - 1</f>
        <v>-5.3475935828877219E-3</v>
      </c>
      <c r="H4" s="3">
        <f t="shared" si="0"/>
        <v>-8.0645161290322509E-3</v>
      </c>
      <c r="I4" s="3">
        <f t="shared" si="0"/>
        <v>-2.7450980392156876E-2</v>
      </c>
      <c r="J4" s="3">
        <f t="shared" si="0"/>
        <v>-6.8027210884353817E-3</v>
      </c>
      <c r="K4" s="3">
        <f t="shared" si="0"/>
        <v>-8.4745762711864181E-3</v>
      </c>
      <c r="L4" s="3">
        <f t="shared" ref="L4:L31" si="2">0.2*G4 + 0.2*H4 + 0.2*I4 + 0.2* J4 + 0.2*K4</f>
        <v>-1.122807749273973E-2</v>
      </c>
      <c r="M4" s="3">
        <f t="shared" ref="M4:M31" si="3">L4-K4</f>
        <v>-2.7535012215533124E-3</v>
      </c>
      <c r="N4" s="3"/>
      <c r="P4" s="1" t="s">
        <v>2</v>
      </c>
      <c r="Q4" s="4">
        <v>0.2</v>
      </c>
    </row>
    <row r="5" spans="1:17" x14ac:dyDescent="0.25">
      <c r="A5" s="2">
        <v>45295</v>
      </c>
      <c r="B5">
        <v>188</v>
      </c>
      <c r="C5">
        <v>374</v>
      </c>
      <c r="D5">
        <v>260</v>
      </c>
      <c r="E5">
        <v>149</v>
      </c>
      <c r="F5">
        <v>475</v>
      </c>
      <c r="G5" s="3">
        <f t="shared" si="1"/>
        <v>1.0752688172043001E-2</v>
      </c>
      <c r="H5" s="3">
        <f t="shared" si="0"/>
        <v>1.3550135501354976E-2</v>
      </c>
      <c r="I5" s="3">
        <f t="shared" si="0"/>
        <v>4.8387096774193505E-2</v>
      </c>
      <c r="J5" s="3">
        <f t="shared" si="0"/>
        <v>2.0547945205479534E-2</v>
      </c>
      <c r="K5" s="3">
        <f t="shared" si="0"/>
        <v>1.4957264957264904E-2</v>
      </c>
      <c r="L5" s="3">
        <f t="shared" si="2"/>
        <v>2.1639026122067185E-2</v>
      </c>
      <c r="M5" s="3">
        <f t="shared" si="3"/>
        <v>6.6817611648022808E-3</v>
      </c>
      <c r="N5" s="3"/>
      <c r="P5" s="1" t="s">
        <v>3</v>
      </c>
      <c r="Q5" s="4">
        <v>0.2</v>
      </c>
    </row>
    <row r="6" spans="1:17" x14ac:dyDescent="0.25">
      <c r="A6" s="2">
        <v>45296</v>
      </c>
      <c r="B6">
        <v>190</v>
      </c>
      <c r="C6">
        <v>376</v>
      </c>
      <c r="D6">
        <v>265</v>
      </c>
      <c r="E6">
        <v>150</v>
      </c>
      <c r="F6">
        <v>478</v>
      </c>
      <c r="G6" s="3">
        <f t="shared" si="1"/>
        <v>1.0638297872340496E-2</v>
      </c>
      <c r="H6" s="3">
        <f t="shared" si="0"/>
        <v>5.3475935828877219E-3</v>
      </c>
      <c r="I6" s="3">
        <f t="shared" si="0"/>
        <v>1.9230769230769162E-2</v>
      </c>
      <c r="J6" s="3">
        <f t="shared" si="0"/>
        <v>6.7114093959732557E-3</v>
      </c>
      <c r="K6" s="3">
        <f t="shared" si="0"/>
        <v>6.3157894736842746E-3</v>
      </c>
      <c r="L6" s="3">
        <f t="shared" si="2"/>
        <v>9.6487719111309836E-3</v>
      </c>
      <c r="M6" s="3">
        <f t="shared" si="3"/>
        <v>3.332982437446709E-3</v>
      </c>
      <c r="N6" s="3"/>
      <c r="P6" s="1" t="s">
        <v>4</v>
      </c>
      <c r="Q6" s="4">
        <v>0.2</v>
      </c>
    </row>
    <row r="7" spans="1:17" x14ac:dyDescent="0.25">
      <c r="A7" s="2">
        <v>45297</v>
      </c>
      <c r="B7">
        <v>192</v>
      </c>
      <c r="C7">
        <v>378</v>
      </c>
      <c r="D7">
        <v>270</v>
      </c>
      <c r="E7">
        <v>152</v>
      </c>
      <c r="F7">
        <v>480</v>
      </c>
      <c r="G7" s="3">
        <f t="shared" si="1"/>
        <v>1.0526315789473717E-2</v>
      </c>
      <c r="H7" s="3">
        <f t="shared" si="0"/>
        <v>5.3191489361701372E-3</v>
      </c>
      <c r="I7" s="3">
        <f t="shared" si="0"/>
        <v>1.8867924528301883E-2</v>
      </c>
      <c r="J7" s="3">
        <f t="shared" si="0"/>
        <v>1.3333333333333419E-2</v>
      </c>
      <c r="K7" s="3">
        <f t="shared" si="0"/>
        <v>4.1841004184099972E-3</v>
      </c>
      <c r="L7" s="3">
        <f t="shared" si="2"/>
        <v>1.044616460113783E-2</v>
      </c>
      <c r="M7" s="3">
        <f t="shared" si="3"/>
        <v>6.2620641827278323E-3</v>
      </c>
      <c r="N7" s="3"/>
    </row>
    <row r="8" spans="1:17" x14ac:dyDescent="0.25">
      <c r="A8" s="2">
        <v>45298</v>
      </c>
      <c r="B8">
        <v>191</v>
      </c>
      <c r="C8">
        <v>377</v>
      </c>
      <c r="D8">
        <v>268</v>
      </c>
      <c r="E8">
        <v>151</v>
      </c>
      <c r="F8">
        <v>479</v>
      </c>
      <c r="G8" s="3">
        <f t="shared" si="1"/>
        <v>-5.2083333333333703E-3</v>
      </c>
      <c r="H8" s="3">
        <f t="shared" si="0"/>
        <v>-2.6455026455026731E-3</v>
      </c>
      <c r="I8" s="3">
        <f t="shared" si="0"/>
        <v>-7.4074074074074181E-3</v>
      </c>
      <c r="J8" s="3">
        <f t="shared" si="0"/>
        <v>-6.5789473684210176E-3</v>
      </c>
      <c r="K8" s="3">
        <f t="shared" si="0"/>
        <v>-2.0833333333333259E-3</v>
      </c>
      <c r="L8" s="3">
        <f t="shared" si="2"/>
        <v>-4.7847048175995608E-3</v>
      </c>
      <c r="M8" s="3">
        <f t="shared" si="3"/>
        <v>-2.7013714842662349E-3</v>
      </c>
      <c r="N8" s="3"/>
      <c r="O8" s="5"/>
      <c r="P8" s="7" t="s">
        <v>17</v>
      </c>
      <c r="Q8" s="9" t="s">
        <v>18</v>
      </c>
    </row>
    <row r="9" spans="1:17" x14ac:dyDescent="0.25">
      <c r="A9" s="2">
        <v>45299</v>
      </c>
      <c r="B9">
        <v>193</v>
      </c>
      <c r="C9">
        <v>380</v>
      </c>
      <c r="D9">
        <v>275</v>
      </c>
      <c r="E9">
        <v>153</v>
      </c>
      <c r="F9">
        <v>482</v>
      </c>
      <c r="G9" s="3">
        <f t="shared" si="1"/>
        <v>1.0471204188481575E-2</v>
      </c>
      <c r="H9" s="3">
        <f t="shared" si="0"/>
        <v>7.9575596816976457E-3</v>
      </c>
      <c r="I9" s="3">
        <f t="shared" si="0"/>
        <v>2.6119402985074647E-2</v>
      </c>
      <c r="J9" s="3">
        <f t="shared" si="0"/>
        <v>1.3245033112582849E-2</v>
      </c>
      <c r="K9" s="3">
        <f t="shared" si="0"/>
        <v>6.2630480167014113E-3</v>
      </c>
      <c r="L9" s="3">
        <f t="shared" si="2"/>
        <v>1.2811249596907626E-2</v>
      </c>
      <c r="M9" s="3">
        <f t="shared" si="3"/>
        <v>6.5482015802062147E-3</v>
      </c>
      <c r="N9" s="3"/>
      <c r="O9" s="3"/>
      <c r="P9" s="3" t="s">
        <v>19</v>
      </c>
      <c r="Q9" s="3">
        <f>AVERAGE(L3:L31)</f>
        <v>6.1335229485804579E-3</v>
      </c>
    </row>
    <row r="10" spans="1:17" x14ac:dyDescent="0.25">
      <c r="A10" s="2">
        <v>45300</v>
      </c>
      <c r="B10">
        <v>195</v>
      </c>
      <c r="C10">
        <v>382</v>
      </c>
      <c r="D10">
        <v>280</v>
      </c>
      <c r="E10">
        <v>155</v>
      </c>
      <c r="F10">
        <v>485</v>
      </c>
      <c r="G10" s="3">
        <f t="shared" si="1"/>
        <v>1.0362694300518172E-2</v>
      </c>
      <c r="H10" s="3">
        <f t="shared" si="0"/>
        <v>5.2631578947368585E-3</v>
      </c>
      <c r="I10" s="3">
        <f t="shared" si="0"/>
        <v>1.8181818181818077E-2</v>
      </c>
      <c r="J10" s="3">
        <f t="shared" si="0"/>
        <v>1.3071895424836555E-2</v>
      </c>
      <c r="K10" s="3">
        <f t="shared" si="0"/>
        <v>6.2240663900414717E-3</v>
      </c>
      <c r="L10" s="3">
        <f t="shared" si="2"/>
        <v>1.0620726438390227E-2</v>
      </c>
      <c r="M10" s="3">
        <f t="shared" si="3"/>
        <v>4.3966600483487557E-3</v>
      </c>
      <c r="N10" s="3"/>
      <c r="P10" t="s">
        <v>20</v>
      </c>
      <c r="Q10" s="3">
        <f>AVERAGE(K3:K31)</f>
        <v>3.3724764466492711E-3</v>
      </c>
    </row>
    <row r="11" spans="1:17" x14ac:dyDescent="0.25">
      <c r="A11" s="2">
        <v>45301</v>
      </c>
      <c r="B11">
        <v>194</v>
      </c>
      <c r="C11">
        <v>381</v>
      </c>
      <c r="D11">
        <v>278</v>
      </c>
      <c r="E11">
        <v>154</v>
      </c>
      <c r="F11">
        <v>483</v>
      </c>
      <c r="G11" s="3">
        <f t="shared" si="1"/>
        <v>-5.12820512820511E-3</v>
      </c>
      <c r="H11" s="3">
        <f t="shared" si="0"/>
        <v>-2.6178010471203939E-3</v>
      </c>
      <c r="I11" s="3">
        <f t="shared" si="0"/>
        <v>-7.1428571428571175E-3</v>
      </c>
      <c r="J11" s="3">
        <f t="shared" si="0"/>
        <v>-6.4516129032258229E-3</v>
      </c>
      <c r="K11" s="3">
        <f t="shared" si="0"/>
        <v>-4.1237113402061709E-3</v>
      </c>
      <c r="L11" s="3">
        <f t="shared" si="2"/>
        <v>-5.092837512322923E-3</v>
      </c>
      <c r="M11" s="3">
        <f t="shared" si="3"/>
        <v>-9.6912617211675212E-4</v>
      </c>
      <c r="N11" s="3"/>
      <c r="O11" s="5"/>
      <c r="P11" s="8" t="s">
        <v>21</v>
      </c>
      <c r="Q11" s="3">
        <f>AVERAGE(M3:M31)</f>
        <v>2.7610465019311868E-3</v>
      </c>
    </row>
    <row r="12" spans="1:17" x14ac:dyDescent="0.25">
      <c r="A12" s="2">
        <v>45302</v>
      </c>
      <c r="B12">
        <v>196</v>
      </c>
      <c r="C12">
        <v>385</v>
      </c>
      <c r="D12">
        <v>285</v>
      </c>
      <c r="E12">
        <v>156</v>
      </c>
      <c r="F12">
        <v>487</v>
      </c>
      <c r="G12" s="3">
        <f t="shared" si="1"/>
        <v>1.0309278350515427E-2</v>
      </c>
      <c r="H12" s="3">
        <f t="shared" si="0"/>
        <v>1.049868766404205E-2</v>
      </c>
      <c r="I12" s="3">
        <f t="shared" si="0"/>
        <v>2.5179856115107979E-2</v>
      </c>
      <c r="J12" s="3">
        <f t="shared" si="0"/>
        <v>1.298701298701288E-2</v>
      </c>
      <c r="K12" s="3">
        <f t="shared" si="0"/>
        <v>8.2815734989647449E-3</v>
      </c>
      <c r="L12" s="3">
        <f t="shared" si="2"/>
        <v>1.3451281723128618E-2</v>
      </c>
      <c r="M12" s="3">
        <f t="shared" si="3"/>
        <v>5.1697082241638735E-3</v>
      </c>
      <c r="N12" s="3"/>
      <c r="P12" t="s">
        <v>22</v>
      </c>
      <c r="Q12" s="10">
        <f>STDEV(L3:L31)</f>
        <v>7.9028170277930607E-3</v>
      </c>
    </row>
    <row r="13" spans="1:17" x14ac:dyDescent="0.25">
      <c r="A13" s="2">
        <v>45303</v>
      </c>
      <c r="B13">
        <v>198</v>
      </c>
      <c r="C13">
        <v>387</v>
      </c>
      <c r="D13">
        <v>290</v>
      </c>
      <c r="E13">
        <v>158</v>
      </c>
      <c r="F13">
        <v>490</v>
      </c>
      <c r="G13" s="3">
        <f t="shared" si="1"/>
        <v>1.0204081632652962E-2</v>
      </c>
      <c r="H13" s="3">
        <f t="shared" si="0"/>
        <v>5.1948051948051965E-3</v>
      </c>
      <c r="I13" s="3">
        <f t="shared" si="0"/>
        <v>1.7543859649122862E-2</v>
      </c>
      <c r="J13" s="3">
        <f t="shared" si="0"/>
        <v>1.2820512820512775E-2</v>
      </c>
      <c r="K13" s="3">
        <f t="shared" si="0"/>
        <v>6.1601642710471527E-3</v>
      </c>
      <c r="L13" s="3">
        <f t="shared" si="2"/>
        <v>1.0384684713628189E-2</v>
      </c>
      <c r="M13" s="3">
        <f t="shared" si="3"/>
        <v>4.2245204425810368E-3</v>
      </c>
      <c r="N13" s="3"/>
    </row>
    <row r="14" spans="1:17" x14ac:dyDescent="0.25">
      <c r="A14" s="2">
        <v>45304</v>
      </c>
      <c r="B14">
        <v>197</v>
      </c>
      <c r="C14">
        <v>386</v>
      </c>
      <c r="D14">
        <v>288</v>
      </c>
      <c r="E14">
        <v>157</v>
      </c>
      <c r="F14">
        <v>488</v>
      </c>
      <c r="G14" s="3">
        <f t="shared" si="1"/>
        <v>-5.050505050505083E-3</v>
      </c>
      <c r="H14" s="3">
        <f t="shared" si="0"/>
        <v>-2.5839793281653423E-3</v>
      </c>
      <c r="I14" s="3">
        <f t="shared" si="0"/>
        <v>-6.8965517241379448E-3</v>
      </c>
      <c r="J14" s="3">
        <f t="shared" si="0"/>
        <v>-6.3291139240506666E-3</v>
      </c>
      <c r="K14" s="3">
        <f t="shared" si="0"/>
        <v>-4.0816326530612734E-3</v>
      </c>
      <c r="L14" s="3">
        <f t="shared" si="2"/>
        <v>-4.988356535984062E-3</v>
      </c>
      <c r="M14" s="3">
        <f t="shared" si="3"/>
        <v>-9.067238829227886E-4</v>
      </c>
      <c r="N14" s="3"/>
    </row>
    <row r="15" spans="1:17" x14ac:dyDescent="0.25">
      <c r="A15" s="2">
        <v>45305</v>
      </c>
      <c r="B15">
        <v>199</v>
      </c>
      <c r="C15">
        <v>389</v>
      </c>
      <c r="D15">
        <v>295</v>
      </c>
      <c r="E15">
        <v>160</v>
      </c>
      <c r="F15">
        <v>492</v>
      </c>
      <c r="G15" s="3">
        <f t="shared" si="1"/>
        <v>1.0152284263959421E-2</v>
      </c>
      <c r="H15" s="3">
        <f t="shared" si="0"/>
        <v>7.7720207253886286E-3</v>
      </c>
      <c r="I15" s="3">
        <f t="shared" si="0"/>
        <v>2.430555555555558E-2</v>
      </c>
      <c r="J15" s="3">
        <f t="shared" si="0"/>
        <v>1.9108280254777066E-2</v>
      </c>
      <c r="K15" s="3">
        <f t="shared" si="0"/>
        <v>8.1967213114753079E-3</v>
      </c>
      <c r="L15" s="3">
        <f t="shared" si="2"/>
        <v>1.3906972422231201E-2</v>
      </c>
      <c r="M15" s="3">
        <f t="shared" si="3"/>
        <v>5.7102511107558936E-3</v>
      </c>
      <c r="N15" s="3"/>
    </row>
    <row r="16" spans="1:17" x14ac:dyDescent="0.25">
      <c r="A16" s="2">
        <v>45306</v>
      </c>
      <c r="B16">
        <v>200</v>
      </c>
      <c r="C16">
        <v>390</v>
      </c>
      <c r="D16">
        <v>300</v>
      </c>
      <c r="E16">
        <v>162</v>
      </c>
      <c r="F16">
        <v>495</v>
      </c>
      <c r="G16" s="3">
        <f t="shared" si="1"/>
        <v>5.0251256281406143E-3</v>
      </c>
      <c r="H16" s="3">
        <f t="shared" si="0"/>
        <v>2.5706940874035134E-3</v>
      </c>
      <c r="I16" s="3">
        <f t="shared" si="0"/>
        <v>1.6949152542372836E-2</v>
      </c>
      <c r="J16" s="3">
        <f t="shared" si="0"/>
        <v>1.2499999999999956E-2</v>
      </c>
      <c r="K16" s="3">
        <f t="shared" si="0"/>
        <v>6.0975609756097615E-3</v>
      </c>
      <c r="L16" s="3">
        <f t="shared" si="2"/>
        <v>8.6285066467053362E-3</v>
      </c>
      <c r="M16" s="3">
        <f t="shared" si="3"/>
        <v>2.5309456710955747E-3</v>
      </c>
      <c r="N16" s="3"/>
    </row>
    <row r="17" spans="1:14" x14ac:dyDescent="0.25">
      <c r="A17" s="2">
        <v>45307</v>
      </c>
      <c r="B17">
        <f>B16</f>
        <v>200</v>
      </c>
      <c r="C17">
        <v>392</v>
      </c>
      <c r="D17">
        <v>305</v>
      </c>
      <c r="E17">
        <v>164</v>
      </c>
      <c r="F17">
        <v>497</v>
      </c>
      <c r="G17" s="3">
        <f t="shared" si="1"/>
        <v>0</v>
      </c>
      <c r="H17" s="3">
        <f t="shared" si="0"/>
        <v>5.12820512820511E-3</v>
      </c>
      <c r="I17" s="3">
        <f t="shared" si="0"/>
        <v>1.6666666666666607E-2</v>
      </c>
      <c r="J17" s="3">
        <f t="shared" si="0"/>
        <v>1.2345679012345734E-2</v>
      </c>
      <c r="K17" s="3">
        <f t="shared" si="0"/>
        <v>4.0404040404040664E-3</v>
      </c>
      <c r="L17" s="3">
        <f t="shared" si="2"/>
        <v>7.6361909695243039E-3</v>
      </c>
      <c r="M17" s="3">
        <f t="shared" si="3"/>
        <v>3.5957869291202375E-3</v>
      </c>
      <c r="N17" s="3"/>
    </row>
    <row r="18" spans="1:14" x14ac:dyDescent="0.25">
      <c r="A18" s="2">
        <v>45308</v>
      </c>
      <c r="B18">
        <v>202</v>
      </c>
      <c r="C18">
        <f>C17</f>
        <v>392</v>
      </c>
      <c r="D18">
        <v>310</v>
      </c>
      <c r="E18">
        <v>165</v>
      </c>
      <c r="F18">
        <v>498</v>
      </c>
      <c r="G18" s="3">
        <f t="shared" si="1"/>
        <v>1.0000000000000009E-2</v>
      </c>
      <c r="H18" s="3">
        <f t="shared" si="0"/>
        <v>0</v>
      </c>
      <c r="I18" s="3">
        <f t="shared" si="0"/>
        <v>1.6393442622950838E-2</v>
      </c>
      <c r="J18" s="3">
        <f t="shared" si="0"/>
        <v>6.0975609756097615E-3</v>
      </c>
      <c r="K18" s="3">
        <f t="shared" si="0"/>
        <v>2.012072434607548E-3</v>
      </c>
      <c r="L18" s="3">
        <f t="shared" si="2"/>
        <v>6.9006152066336318E-3</v>
      </c>
      <c r="M18" s="3">
        <f t="shared" si="3"/>
        <v>4.8885427720260837E-3</v>
      </c>
      <c r="N18" s="3"/>
    </row>
    <row r="19" spans="1:14" x14ac:dyDescent="0.25">
      <c r="A19" s="2">
        <v>45309</v>
      </c>
      <c r="B19">
        <v>203</v>
      </c>
      <c r="C19">
        <v>395</v>
      </c>
      <c r="D19">
        <f>D18</f>
        <v>310</v>
      </c>
      <c r="E19">
        <v>166</v>
      </c>
      <c r="F19">
        <v>500</v>
      </c>
      <c r="G19" s="3">
        <f t="shared" si="1"/>
        <v>4.9504950495049549E-3</v>
      </c>
      <c r="H19" s="3">
        <f t="shared" ref="H19:H31" si="4">(C19/C18) - 1</f>
        <v>7.6530612244898322E-3</v>
      </c>
      <c r="I19" s="3">
        <f t="shared" ref="I19:I31" si="5">(D19/D18) - 1</f>
        <v>0</v>
      </c>
      <c r="J19" s="3">
        <f t="shared" ref="J19:J31" si="6">(E19/E18) - 1</f>
        <v>6.0606060606060996E-3</v>
      </c>
      <c r="K19" s="3">
        <f t="shared" ref="K19:K31" si="7">(F19/F18) - 1</f>
        <v>4.0160642570281624E-3</v>
      </c>
      <c r="L19" s="3">
        <f t="shared" si="2"/>
        <v>4.53604531832581E-3</v>
      </c>
      <c r="M19" s="3">
        <f t="shared" si="3"/>
        <v>5.199810612976476E-4</v>
      </c>
      <c r="N19" s="3"/>
    </row>
    <row r="20" spans="1:14" x14ac:dyDescent="0.25">
      <c r="A20" s="2">
        <v>45310</v>
      </c>
      <c r="B20">
        <v>205</v>
      </c>
      <c r="C20">
        <v>397</v>
      </c>
      <c r="D20">
        <v>315</v>
      </c>
      <c r="E20">
        <v>167</v>
      </c>
      <c r="F20">
        <f>F19</f>
        <v>500</v>
      </c>
      <c r="G20" s="3">
        <f t="shared" si="1"/>
        <v>9.8522167487684609E-3</v>
      </c>
      <c r="H20" s="3">
        <f t="shared" si="4"/>
        <v>5.0632911392405333E-3</v>
      </c>
      <c r="I20" s="3">
        <f t="shared" si="5"/>
        <v>1.6129032258064502E-2</v>
      </c>
      <c r="J20" s="3">
        <f t="shared" si="6"/>
        <v>6.0240963855422436E-3</v>
      </c>
      <c r="K20" s="3">
        <f t="shared" si="7"/>
        <v>0</v>
      </c>
      <c r="L20" s="3">
        <f t="shared" si="2"/>
        <v>7.4137273063231476E-3</v>
      </c>
      <c r="M20" s="3">
        <f t="shared" si="3"/>
        <v>7.4137273063231476E-3</v>
      </c>
      <c r="N20" s="3"/>
    </row>
    <row r="21" spans="1:14" x14ac:dyDescent="0.25">
      <c r="A21" s="2">
        <v>45311</v>
      </c>
      <c r="B21">
        <v>207</v>
      </c>
      <c r="C21">
        <v>399</v>
      </c>
      <c r="D21">
        <v>320</v>
      </c>
      <c r="E21">
        <v>169</v>
      </c>
      <c r="F21">
        <v>505</v>
      </c>
      <c r="G21" s="3">
        <f t="shared" si="1"/>
        <v>9.7560975609756184E-3</v>
      </c>
      <c r="H21" s="3">
        <f t="shared" si="4"/>
        <v>5.0377833753147971E-3</v>
      </c>
      <c r="I21" s="3">
        <f t="shared" si="5"/>
        <v>1.5873015873015817E-2</v>
      </c>
      <c r="J21" s="3">
        <f t="shared" si="6"/>
        <v>1.1976047904191711E-2</v>
      </c>
      <c r="K21" s="3">
        <f t="shared" si="7"/>
        <v>1.0000000000000009E-2</v>
      </c>
      <c r="L21" s="3">
        <f t="shared" si="2"/>
        <v>1.052858894269959E-2</v>
      </c>
      <c r="M21" s="3">
        <f t="shared" si="3"/>
        <v>5.2858894269958157E-4</v>
      </c>
      <c r="N21" s="3"/>
    </row>
    <row r="22" spans="1:14" x14ac:dyDescent="0.25">
      <c r="A22" s="2">
        <v>45312</v>
      </c>
      <c r="B22">
        <v>206</v>
      </c>
      <c r="C22">
        <v>398</v>
      </c>
      <c r="D22">
        <v>318</v>
      </c>
      <c r="E22">
        <v>168</v>
      </c>
      <c r="F22">
        <v>503</v>
      </c>
      <c r="G22" s="3">
        <f t="shared" si="1"/>
        <v>-4.8309178743961567E-3</v>
      </c>
      <c r="H22" s="3">
        <f t="shared" si="4"/>
        <v>-2.5062656641604564E-3</v>
      </c>
      <c r="I22" s="3">
        <f t="shared" si="5"/>
        <v>-6.2499999999999778E-3</v>
      </c>
      <c r="J22" s="3">
        <f t="shared" si="6"/>
        <v>-5.9171597633136397E-3</v>
      </c>
      <c r="K22" s="3">
        <f t="shared" si="7"/>
        <v>-3.9603960396039639E-3</v>
      </c>
      <c r="L22" s="3">
        <f t="shared" si="2"/>
        <v>-4.6929478682948391E-3</v>
      </c>
      <c r="M22" s="3">
        <f t="shared" si="3"/>
        <v>-7.3255182869087516E-4</v>
      </c>
      <c r="N22" s="3"/>
    </row>
    <row r="23" spans="1:14" x14ac:dyDescent="0.25">
      <c r="A23" s="2">
        <v>45313</v>
      </c>
      <c r="B23">
        <v>208</v>
      </c>
      <c r="C23">
        <v>401</v>
      </c>
      <c r="D23">
        <v>325</v>
      </c>
      <c r="E23">
        <v>170</v>
      </c>
      <c r="F23">
        <v>507</v>
      </c>
      <c r="G23" s="3">
        <f t="shared" si="1"/>
        <v>9.7087378640776656E-3</v>
      </c>
      <c r="H23" s="3">
        <f t="shared" si="4"/>
        <v>7.5376884422111434E-3</v>
      </c>
      <c r="I23" s="3">
        <f t="shared" si="5"/>
        <v>2.2012578616352307E-2</v>
      </c>
      <c r="J23" s="3">
        <f t="shared" si="6"/>
        <v>1.1904761904761862E-2</v>
      </c>
      <c r="K23" s="3">
        <f t="shared" si="7"/>
        <v>7.9522862823062646E-3</v>
      </c>
      <c r="L23" s="3">
        <f t="shared" si="2"/>
        <v>1.1823210621941849E-2</v>
      </c>
      <c r="M23" s="3">
        <f t="shared" si="3"/>
        <v>3.8709243396355848E-3</v>
      </c>
      <c r="N23" s="3"/>
    </row>
    <row r="24" spans="1:14" x14ac:dyDescent="0.25">
      <c r="A24" s="2">
        <v>45314</v>
      </c>
      <c r="B24">
        <v>210</v>
      </c>
      <c r="C24">
        <v>403</v>
      </c>
      <c r="D24">
        <v>330</v>
      </c>
      <c r="E24">
        <v>172</v>
      </c>
      <c r="F24">
        <v>510</v>
      </c>
      <c r="G24" s="3">
        <f t="shared" si="1"/>
        <v>9.6153846153845812E-3</v>
      </c>
      <c r="H24" s="3">
        <f t="shared" si="4"/>
        <v>4.9875311720697368E-3</v>
      </c>
      <c r="I24" s="3">
        <f t="shared" si="5"/>
        <v>1.538461538461533E-2</v>
      </c>
      <c r="J24" s="3">
        <f t="shared" si="6"/>
        <v>1.1764705882352899E-2</v>
      </c>
      <c r="K24" s="3">
        <f t="shared" si="7"/>
        <v>5.9171597633136397E-3</v>
      </c>
      <c r="L24" s="3">
        <f t="shared" si="2"/>
        <v>9.5338793635472395E-3</v>
      </c>
      <c r="M24" s="3">
        <f t="shared" si="3"/>
        <v>3.6167196002335998E-3</v>
      </c>
      <c r="N24" s="3"/>
    </row>
    <row r="25" spans="1:14" x14ac:dyDescent="0.25">
      <c r="A25" s="2">
        <v>45315</v>
      </c>
      <c r="B25">
        <v>209</v>
      </c>
      <c r="C25">
        <v>402</v>
      </c>
      <c r="D25">
        <v>328</v>
      </c>
      <c r="E25">
        <v>171</v>
      </c>
      <c r="F25">
        <v>508</v>
      </c>
      <c r="G25" s="3">
        <f t="shared" si="1"/>
        <v>-4.761904761904745E-3</v>
      </c>
      <c r="H25" s="3">
        <f t="shared" si="4"/>
        <v>-2.4813895781637951E-3</v>
      </c>
      <c r="I25" s="3">
        <f t="shared" si="5"/>
        <v>-6.0606060606060996E-3</v>
      </c>
      <c r="J25" s="3">
        <f t="shared" si="6"/>
        <v>-5.8139534883721034E-3</v>
      </c>
      <c r="K25" s="3">
        <f t="shared" si="7"/>
        <v>-3.9215686274509665E-3</v>
      </c>
      <c r="L25" s="3">
        <f t="shared" si="2"/>
        <v>-4.6078845032995423E-3</v>
      </c>
      <c r="M25" s="3">
        <f t="shared" si="3"/>
        <v>-6.863158758485758E-4</v>
      </c>
      <c r="N25" s="3"/>
    </row>
    <row r="26" spans="1:14" x14ac:dyDescent="0.25">
      <c r="A26" s="2">
        <v>45316</v>
      </c>
      <c r="B26">
        <v>211</v>
      </c>
      <c r="C26">
        <v>405</v>
      </c>
      <c r="D26">
        <v>335</v>
      </c>
      <c r="E26">
        <v>173</v>
      </c>
      <c r="F26">
        <v>512</v>
      </c>
      <c r="G26" s="3">
        <f t="shared" si="1"/>
        <v>9.5693779904306719E-3</v>
      </c>
      <c r="H26" s="3">
        <f t="shared" si="4"/>
        <v>7.4626865671640896E-3</v>
      </c>
      <c r="I26" s="3">
        <f t="shared" si="5"/>
        <v>2.1341463414634054E-2</v>
      </c>
      <c r="J26" s="3">
        <f t="shared" si="6"/>
        <v>1.1695906432748648E-2</v>
      </c>
      <c r="K26" s="3">
        <f t="shared" si="7"/>
        <v>7.8740157480314821E-3</v>
      </c>
      <c r="L26" s="3">
        <f t="shared" si="2"/>
        <v>1.1588690030601791E-2</v>
      </c>
      <c r="M26" s="3">
        <f t="shared" si="3"/>
        <v>3.7146742825703086E-3</v>
      </c>
      <c r="N26" s="3"/>
    </row>
    <row r="27" spans="1:14" x14ac:dyDescent="0.25">
      <c r="A27" s="2">
        <v>45317</v>
      </c>
      <c r="B27">
        <v>213</v>
      </c>
      <c r="C27">
        <v>407</v>
      </c>
      <c r="D27">
        <v>340</v>
      </c>
      <c r="E27">
        <v>175</v>
      </c>
      <c r="F27">
        <v>515</v>
      </c>
      <c r="G27" s="3">
        <f t="shared" si="1"/>
        <v>9.4786729857820884E-3</v>
      </c>
      <c r="H27" s="3">
        <f t="shared" si="4"/>
        <v>4.9382716049382047E-3</v>
      </c>
      <c r="I27" s="3">
        <f t="shared" si="5"/>
        <v>1.4925373134328401E-2</v>
      </c>
      <c r="J27" s="3">
        <f t="shared" si="6"/>
        <v>1.1560693641618602E-2</v>
      </c>
      <c r="K27" s="3">
        <f t="shared" si="7"/>
        <v>5.859375E-3</v>
      </c>
      <c r="L27" s="3">
        <f t="shared" si="2"/>
        <v>9.3524772733334614E-3</v>
      </c>
      <c r="M27" s="3">
        <f t="shared" si="3"/>
        <v>3.4931022733334614E-3</v>
      </c>
      <c r="N27" s="3"/>
    </row>
    <row r="28" spans="1:14" x14ac:dyDescent="0.25">
      <c r="A28" s="2">
        <v>45318</v>
      </c>
      <c r="B28">
        <v>212</v>
      </c>
      <c r="C28">
        <v>406</v>
      </c>
      <c r="D28">
        <v>338</v>
      </c>
      <c r="E28">
        <v>174</v>
      </c>
      <c r="F28">
        <f>F27</f>
        <v>515</v>
      </c>
      <c r="G28" s="3">
        <f t="shared" si="1"/>
        <v>-4.6948356807511304E-3</v>
      </c>
      <c r="H28" s="3">
        <f t="shared" si="4"/>
        <v>-2.4570024570024218E-3</v>
      </c>
      <c r="I28" s="3">
        <f t="shared" si="5"/>
        <v>-5.8823529411764497E-3</v>
      </c>
      <c r="J28" s="3">
        <f t="shared" si="6"/>
        <v>-5.7142857142856718E-3</v>
      </c>
      <c r="K28" s="3">
        <f t="shared" si="7"/>
        <v>0</v>
      </c>
      <c r="L28" s="3">
        <f t="shared" si="2"/>
        <v>-3.7496953586431351E-3</v>
      </c>
      <c r="M28" s="3">
        <f t="shared" si="3"/>
        <v>-3.7496953586431351E-3</v>
      </c>
      <c r="N28" s="3"/>
    </row>
    <row r="29" spans="1:14" x14ac:dyDescent="0.25">
      <c r="A29" s="2">
        <v>45319</v>
      </c>
      <c r="B29">
        <v>214</v>
      </c>
      <c r="C29">
        <v>409</v>
      </c>
      <c r="D29">
        <v>345</v>
      </c>
      <c r="E29">
        <v>176</v>
      </c>
      <c r="F29">
        <v>517</v>
      </c>
      <c r="G29" s="3">
        <f t="shared" si="1"/>
        <v>9.4339622641510523E-3</v>
      </c>
      <c r="H29" s="3">
        <f t="shared" si="4"/>
        <v>7.3891625615762901E-3</v>
      </c>
      <c r="I29" s="3">
        <f t="shared" si="5"/>
        <v>2.0710059171597628E-2</v>
      </c>
      <c r="J29" s="3">
        <f t="shared" si="6"/>
        <v>1.1494252873563315E-2</v>
      </c>
      <c r="K29" s="3">
        <f t="shared" si="7"/>
        <v>3.8834951456310218E-3</v>
      </c>
      <c r="L29" s="3">
        <f t="shared" si="2"/>
        <v>1.0582186403303861E-2</v>
      </c>
      <c r="M29" s="3">
        <f t="shared" si="3"/>
        <v>6.6986912576728393E-3</v>
      </c>
      <c r="N29" s="3"/>
    </row>
    <row r="30" spans="1:14" x14ac:dyDescent="0.25">
      <c r="A30" s="2">
        <v>45320</v>
      </c>
      <c r="B30">
        <v>216</v>
      </c>
      <c r="C30">
        <v>411</v>
      </c>
      <c r="D30">
        <v>350</v>
      </c>
      <c r="E30">
        <v>178</v>
      </c>
      <c r="F30">
        <v>520</v>
      </c>
      <c r="G30" s="3">
        <f t="shared" si="1"/>
        <v>9.3457943925232545E-3</v>
      </c>
      <c r="H30" s="3">
        <f t="shared" si="4"/>
        <v>4.8899755501221609E-3</v>
      </c>
      <c r="I30" s="3">
        <f t="shared" si="5"/>
        <v>1.449275362318847E-2</v>
      </c>
      <c r="J30" s="3">
        <f t="shared" si="6"/>
        <v>1.1363636363636465E-2</v>
      </c>
      <c r="K30" s="3">
        <f t="shared" si="7"/>
        <v>5.8027079303675233E-3</v>
      </c>
      <c r="L30" s="3">
        <f t="shared" si="2"/>
        <v>9.1789735719675757E-3</v>
      </c>
      <c r="M30" s="3">
        <f t="shared" si="3"/>
        <v>3.3762656416000524E-3</v>
      </c>
      <c r="N30" s="3"/>
    </row>
    <row r="31" spans="1:14" x14ac:dyDescent="0.25">
      <c r="A31" s="2">
        <v>45321</v>
      </c>
      <c r="B31">
        <v>215</v>
      </c>
      <c r="C31">
        <v>410</v>
      </c>
      <c r="D31">
        <v>348</v>
      </c>
      <c r="E31">
        <v>177</v>
      </c>
      <c r="F31">
        <v>518</v>
      </c>
      <c r="G31" s="3">
        <f t="shared" si="1"/>
        <v>-4.6296296296296502E-3</v>
      </c>
      <c r="H31" s="3">
        <f t="shared" si="4"/>
        <v>-2.4330900243308973E-3</v>
      </c>
      <c r="I31" s="3">
        <f t="shared" si="5"/>
        <v>-5.7142857142856718E-3</v>
      </c>
      <c r="J31" s="3">
        <f t="shared" si="6"/>
        <v>-5.6179775280899014E-3</v>
      </c>
      <c r="K31" s="3">
        <f t="shared" si="7"/>
        <v>-3.8461538461538325E-3</v>
      </c>
      <c r="L31" s="3">
        <f t="shared" si="2"/>
        <v>-4.4482273484979917E-3</v>
      </c>
      <c r="M31" s="3">
        <f t="shared" si="3"/>
        <v>-6.0207350234415917E-4</v>
      </c>
      <c r="N3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Portfolio_Analysis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Di Sabino</dc:creator>
  <cp:lastModifiedBy>Quyen Di Sabino</cp:lastModifiedBy>
  <dcterms:created xsi:type="dcterms:W3CDTF">2026-04-17T08:39:57Z</dcterms:created>
  <dcterms:modified xsi:type="dcterms:W3CDTF">2026-04-17T10:43:19Z</dcterms:modified>
</cp:coreProperties>
</file>